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<sst xmlns="http://schemas.openxmlformats.org/spreadsheetml/2006/main" count="111" uniqueCount="95">
  <si>
    <t xml:space="preserve">UKC AstraNova Rideshare Payload (RPD): Bill of Materials</t>
  </si>
  <si>
    <t xml:space="preserve">Item</t>
  </si>
  <si>
    <t xml:space="preserve">Component</t>
  </si>
  <si>
    <t xml:space="preserve">Description</t>
  </si>
  <si>
    <t xml:space="preserve">Manufacturer Part No</t>
  </si>
  <si>
    <t xml:space="preserve">Supplier Part No</t>
  </si>
  <si>
    <t xml:space="preserve">Supplier</t>
  </si>
  <si>
    <t xml:space="preserve">Qty</t>
  </si>
  <si>
    <t xml:space="preserve">Unit Price (GBP)</t>
  </si>
  <si>
    <t xml:space="preserve">Line Total (GBP)</t>
  </si>
  <si>
    <t xml:space="preserve">Buzzer</t>
  </si>
  <si>
    <t xml:space="preserve">Board-mount buzzer, 8.5 mm, 5 V, 100 dB, SMT</t>
  </si>
  <si>
    <t xml:space="preserve">CMT-8504-100-SMT-TR</t>
  </si>
  <si>
    <t xml:space="preserve">490-CMT-8504100SMTTR</t>
  </si>
  <si>
    <t xml:space="preserve">Mouser</t>
  </si>
  <si>
    <t xml:space="preserve">microSD connector</t>
  </si>
  <si>
    <t xml:space="preserve">microSD push-pull connector, SMT, 1.42 mm height</t>
  </si>
  <si>
    <t xml:space="preserve">104031-0811</t>
  </si>
  <si>
    <t xml:space="preserve">538-104031-0811</t>
  </si>
  <si>
    <t xml:space="preserve">LED, green</t>
  </si>
  <si>
    <t xml:space="preserve">Green LED, clear tinted, 10-15 mcd @ 10 mA</t>
  </si>
  <si>
    <t xml:space="preserve">TLHG4201</t>
  </si>
  <si>
    <t xml:space="preserve">78-TLHG4201</t>
  </si>
  <si>
    <t xml:space="preserve">LED, red</t>
  </si>
  <si>
    <t xml:space="preserve">Red LED, diffused</t>
  </si>
  <si>
    <t xml:space="preserve">TLLR4401</t>
  </si>
  <si>
    <t xml:space="preserve">78-TLLR4401</t>
  </si>
  <si>
    <t xml:space="preserve">LDO regulator, 3.3 V</t>
  </si>
  <si>
    <t xml:space="preserve">LDO voltage regulator, 3.3 V 0.8 A</t>
  </si>
  <si>
    <t xml:space="preserve">LD1117S33TR</t>
  </si>
  <si>
    <t xml:space="preserve">511-LD1117S33</t>
  </si>
  <si>
    <t xml:space="preserve">LDO regulator, 5.0 V</t>
  </si>
  <si>
    <t xml:space="preserve">LDO voltage regulator, 5.0 V 0.8 A</t>
  </si>
  <si>
    <t xml:space="preserve">LD1117S50TR</t>
  </si>
  <si>
    <t xml:space="preserve">511-LD1117S50</t>
  </si>
  <si>
    <t xml:space="preserve">Level shifter</t>
  </si>
  <si>
    <t xml:space="preserve">Hex non-inverting buffer / level shifter, CMOS</t>
  </si>
  <si>
    <t xml:space="preserve">CD74HC4050NSR</t>
  </si>
  <si>
    <t xml:space="preserve">595-CD74HC4050NSR</t>
  </si>
  <si>
    <t xml:space="preserve">Tactile switch</t>
  </si>
  <si>
    <t xml:space="preserve">Tactile switch, 6 x 6 mm, 260 gf, SPST, IP67</t>
  </si>
  <si>
    <t xml:space="preserve">TS05-66-50-BK-260-SMT-67</t>
  </si>
  <si>
    <t xml:space="preserve">179-TS056650260SMT67</t>
  </si>
  <si>
    <t xml:space="preserve">Raspberry Pi Pico 2</t>
  </si>
  <si>
    <t xml:space="preserve">Raspberry Pi Pico 2, RP2350, 4 MB flash</t>
  </si>
  <si>
    <t xml:space="preserve">SC1631</t>
  </si>
  <si>
    <t xml:space="preserve">358-SC1631</t>
  </si>
  <si>
    <t xml:space="preserve">Resistor, 1 kohm</t>
  </si>
  <si>
    <t xml:space="preserve">Thick-film resistor, 1 kohm, 1206, 0.5%</t>
  </si>
  <si>
    <t xml:space="preserve">ESR18EZPD1001</t>
  </si>
  <si>
    <t xml:space="preserve">755-ESR18EZPD1001</t>
  </si>
  <si>
    <t xml:space="preserve">Resistor, 10 kohm</t>
  </si>
  <si>
    <t xml:space="preserve">Thick-film resistor, 10 kohm, 3216, 5%</t>
  </si>
  <si>
    <t xml:space="preserve">SFR18EZPJ103</t>
  </si>
  <si>
    <t xml:space="preserve">755-SFR18EZPJ103</t>
  </si>
  <si>
    <t xml:space="preserve">LED, red (0805)</t>
  </si>
  <si>
    <t xml:space="preserve">Red SMD LED, 0805</t>
  </si>
  <si>
    <t xml:space="preserve">Q62702P5178</t>
  </si>
  <si>
    <t xml:space="preserve">720-Q62702P5178</t>
  </si>
  <si>
    <t xml:space="preserve">Resistor, 270 ohm</t>
  </si>
  <si>
    <t xml:space="preserve">Thick-film resistor, 270 ohm, 1210, 1%, 2.5 W</t>
  </si>
  <si>
    <t xml:space="preserve">CRCW1210270RFKEAHP</t>
  </si>
  <si>
    <t xml:space="preserve">71-CRCW1210270RFKEAH</t>
  </si>
  <si>
    <t xml:space="preserve">Resistor, 680 ohm</t>
  </si>
  <si>
    <t xml:space="preserve">Thick-film resistor, 680 ohm, 1210, 1%, 2.5 W</t>
  </si>
  <si>
    <t xml:space="preserve">CRCW1210680RFKEAHP</t>
  </si>
  <si>
    <t xml:space="preserve">71-CRCW1210680RFKEAH</t>
  </si>
  <si>
    <t xml:space="preserve">IMU, 10-DOF</t>
  </si>
  <si>
    <t xml:space="preserve">Waveshare 10-DOF IMU Sensor (D); ICM-20948 + BMP280</t>
  </si>
  <si>
    <t xml:space="preserve">SKU:15965</t>
  </si>
  <si>
    <t xml:space="preserve">Waveshare</t>
  </si>
  <si>
    <t xml:space="preserve">e-Paper display, 2.9"</t>
  </si>
  <si>
    <t xml:space="preserve">Waveshare 2.9 inch e-Ink display module, 296 x 128</t>
  </si>
  <si>
    <t xml:space="preserve">SKU:12956</t>
  </si>
  <si>
    <t xml:space="preserve">MOSFET</t>
  </si>
  <si>
    <t xml:space="preserve">MOSFET, IRLML2502, 20 V 4.2 A</t>
  </si>
  <si>
    <t xml:space="preserve">IRLML2502TRPBF</t>
  </si>
  <si>
    <t xml:space="preserve">Capacitor, 10 uF</t>
  </si>
  <si>
    <t xml:space="preserve">MLCC, 10 uF, 35 V, 1206, X7R</t>
  </si>
  <si>
    <t xml:space="preserve">C3216X7R1V106K160AC</t>
  </si>
  <si>
    <t xml:space="preserve">Capacitor, 0.1 uF</t>
  </si>
  <si>
    <t xml:space="preserve">MLCC, 0.1 uF, 50 V, 1206, X7R</t>
  </si>
  <si>
    <t xml:space="preserve">C1206C104K5RAC7210</t>
  </si>
  <si>
    <t xml:space="preserve">Diode, Schottky</t>
  </si>
  <si>
    <t xml:space="preserve">Schottky diode, 1N5819W, SMD</t>
  </si>
  <si>
    <t xml:space="preserve">1N5819W</t>
  </si>
  <si>
    <t xml:space="preserve">Buck converter</t>
  </si>
  <si>
    <t xml:space="preserve">Waveshare DC5-36 V to 3.3 V buck converter</t>
  </si>
  <si>
    <t xml:space="preserve">DC5-36-TO-DC3V3-5</t>
  </si>
  <si>
    <t xml:space="preserve">IC header, 20-way</t>
  </si>
  <si>
    <t xml:space="preserve">IC header, 20 way</t>
  </si>
  <si>
    <t xml:space="preserve">D01-9922046</t>
  </si>
  <si>
    <t xml:space="preserve">CPC</t>
  </si>
  <si>
    <t xml:space="preserve">Total (ex. shipping and VAT)</t>
  </si>
  <si>
    <t xml:space="preserve">Notes: unit prices in GBP at time of order; quantities are per board. IC header quantity assumed 1; set to 2 if fitting both Pico header rows.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</si>
</sst>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0"/>
    <numFmt numFmtId="166" formatCode="\£#,##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D9E1F2"/>
        <bgColor rgb="FFF2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9" min="8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n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 t="n">
        <v>1</v>
      </c>
      <c r="H3" s="5" t="n">
        <v>1.18</v>
      </c>
      <c r="I3" s="6" t="n">
        <f aca="false">G3*H3</f>
        <v>1.18</v>
      </c>
    </row>
    <row r="4" customFormat="false" ht="15" hidden="false" customHeight="false" outlineLevel="0" collapsed="false">
      <c r="A4" s="7" t="n">
        <v>2</v>
      </c>
      <c r="B4" s="8" t="s">
        <v>15</v>
      </c>
      <c r="C4" s="8" t="s">
        <v>16</v>
      </c>
      <c r="D4" s="8" t="s">
        <v>17</v>
      </c>
      <c r="E4" s="8" t="s">
        <v>18</v>
      </c>
      <c r="F4" s="7" t="s">
        <v>14</v>
      </c>
      <c r="G4" s="7" t="n">
        <v>1</v>
      </c>
      <c r="H4" s="9" t="n">
        <v>1.62</v>
      </c>
      <c r="I4" s="10" t="n">
        <f aca="false">G4*H4</f>
        <v>1.62</v>
      </c>
    </row>
    <row r="5" customFormat="false" ht="15" hidden="false" customHeight="false" outlineLevel="0" collapsed="false">
      <c r="A5" s="3" t="n">
        <v>3</v>
      </c>
      <c r="B5" s="4" t="s">
        <v>19</v>
      </c>
      <c r="C5" s="4" t="s">
        <v>20</v>
      </c>
      <c r="D5" s="4" t="s">
        <v>21</v>
      </c>
      <c r="E5" s="4" t="s">
        <v>22</v>
      </c>
      <c r="F5" s="3" t="s">
        <v>14</v>
      </c>
      <c r="G5" s="3" t="n">
        <v>1</v>
      </c>
      <c r="H5" s="5" t="n">
        <v>0.863</v>
      </c>
      <c r="I5" s="6" t="n">
        <f aca="false">G5*H5</f>
        <v>0.863</v>
      </c>
    </row>
    <row r="6" customFormat="false" ht="15" hidden="false" customHeight="false" outlineLevel="0" collapsed="false">
      <c r="A6" s="7" t="n">
        <v>4</v>
      </c>
      <c r="B6" s="8" t="s">
        <v>23</v>
      </c>
      <c r="C6" s="8" t="s">
        <v>24</v>
      </c>
      <c r="D6" s="8" t="s">
        <v>25</v>
      </c>
      <c r="E6" s="8" t="s">
        <v>26</v>
      </c>
      <c r="F6" s="7" t="s">
        <v>14</v>
      </c>
      <c r="G6" s="7" t="n">
        <v>1</v>
      </c>
      <c r="H6" s="9" t="n">
        <v>0.375</v>
      </c>
      <c r="I6" s="10" t="n">
        <f aca="false">G6*H6</f>
        <v>0.375</v>
      </c>
    </row>
    <row r="7" customFormat="false" ht="15" hidden="false" customHeight="false" outlineLevel="0" collapsed="false">
      <c r="A7" s="3" t="n">
        <v>5</v>
      </c>
      <c r="B7" s="4" t="s">
        <v>27</v>
      </c>
      <c r="C7" s="4" t="s">
        <v>28</v>
      </c>
      <c r="D7" s="4" t="s">
        <v>29</v>
      </c>
      <c r="E7" s="4" t="s">
        <v>30</v>
      </c>
      <c r="F7" s="3" t="s">
        <v>14</v>
      </c>
      <c r="G7" s="3" t="n">
        <v>1</v>
      </c>
      <c r="H7" s="5" t="n">
        <v>0.255</v>
      </c>
      <c r="I7" s="6" t="n">
        <f aca="false">G7*H7</f>
        <v>0.255</v>
      </c>
    </row>
    <row r="8" customFormat="false" ht="15" hidden="false" customHeight="false" outlineLevel="0" collapsed="false">
      <c r="A8" s="7" t="n">
        <v>6</v>
      </c>
      <c r="B8" s="8" t="s">
        <v>31</v>
      </c>
      <c r="C8" s="8" t="s">
        <v>32</v>
      </c>
      <c r="D8" s="8" t="s">
        <v>33</v>
      </c>
      <c r="E8" s="8" t="s">
        <v>34</v>
      </c>
      <c r="F8" s="7" t="s">
        <v>14</v>
      </c>
      <c r="G8" s="7" t="n">
        <v>1</v>
      </c>
      <c r="H8" s="9" t="n">
        <v>0.292</v>
      </c>
      <c r="I8" s="10" t="n">
        <f aca="false">G8*H8</f>
        <v>0.292</v>
      </c>
    </row>
    <row r="9" customFormat="false" ht="15" hidden="false" customHeight="false" outlineLevel="0" collapsed="false">
      <c r="A9" s="3" t="n">
        <v>7</v>
      </c>
      <c r="B9" s="4" t="s">
        <v>35</v>
      </c>
      <c r="C9" s="4" t="s">
        <v>36</v>
      </c>
      <c r="D9" s="4" t="s">
        <v>37</v>
      </c>
      <c r="E9" s="4" t="s">
        <v>38</v>
      </c>
      <c r="F9" s="3" t="s">
        <v>14</v>
      </c>
      <c r="G9" s="3" t="n">
        <v>1</v>
      </c>
      <c r="H9" s="5" t="n">
        <v>0.496</v>
      </c>
      <c r="I9" s="6" t="n">
        <f aca="false">G9*H9</f>
        <v>0.496</v>
      </c>
    </row>
    <row r="10" customFormat="false" ht="15" hidden="false" customHeight="false" outlineLevel="0" collapsed="false">
      <c r="A10" s="7" t="n">
        <v>8</v>
      </c>
      <c r="B10" s="8" t="s">
        <v>39</v>
      </c>
      <c r="C10" s="8" t="s">
        <v>40</v>
      </c>
      <c r="D10" s="8" t="s">
        <v>41</v>
      </c>
      <c r="E10" s="8" t="s">
        <v>42</v>
      </c>
      <c r="F10" s="7" t="s">
        <v>14</v>
      </c>
      <c r="G10" s="7" t="n">
        <v>2</v>
      </c>
      <c r="H10" s="9" t="n">
        <v>0.263</v>
      </c>
      <c r="I10" s="10" t="n">
        <f aca="false">G10*H10</f>
        <v>0.526</v>
      </c>
    </row>
    <row r="11" customFormat="false" ht="15" hidden="false" customHeight="false" outlineLevel="0" collapsed="false">
      <c r="A11" s="3" t="n">
        <v>9</v>
      </c>
      <c r="B11" s="4" t="s">
        <v>43</v>
      </c>
      <c r="C11" s="4" t="s">
        <v>44</v>
      </c>
      <c r="D11" s="4" t="s">
        <v>45</v>
      </c>
      <c r="E11" s="4" t="s">
        <v>46</v>
      </c>
      <c r="F11" s="3" t="s">
        <v>14</v>
      </c>
      <c r="G11" s="3" t="n">
        <v>1</v>
      </c>
      <c r="H11" s="5" t="n">
        <v>3.75</v>
      </c>
      <c r="I11" s="6" t="n">
        <f aca="false">G11*H11</f>
        <v>3.75</v>
      </c>
    </row>
    <row r="12" customFormat="false" ht="15" hidden="false" customHeight="false" outlineLevel="0" collapsed="false">
      <c r="A12" s="7" t="n">
        <v>10</v>
      </c>
      <c r="B12" s="8" t="s">
        <v>47</v>
      </c>
      <c r="C12" s="8" t="s">
        <v>48</v>
      </c>
      <c r="D12" s="8" t="s">
        <v>49</v>
      </c>
      <c r="E12" s="8" t="s">
        <v>50</v>
      </c>
      <c r="F12" s="7" t="s">
        <v>14</v>
      </c>
      <c r="G12" s="7" t="n">
        <v>1</v>
      </c>
      <c r="H12" s="9" t="n">
        <v>0.115</v>
      </c>
      <c r="I12" s="10" t="n">
        <f aca="false">G12*H12</f>
        <v>0.115</v>
      </c>
    </row>
    <row r="13" customFormat="false" ht="15" hidden="false" customHeight="false" outlineLevel="0" collapsed="false">
      <c r="A13" s="3" t="n">
        <v>11</v>
      </c>
      <c r="B13" s="4" t="s">
        <v>51</v>
      </c>
      <c r="C13" s="4" t="s">
        <v>52</v>
      </c>
      <c r="D13" s="4" t="s">
        <v>53</v>
      </c>
      <c r="E13" s="4" t="s">
        <v>54</v>
      </c>
      <c r="F13" s="3" t="s">
        <v>14</v>
      </c>
      <c r="G13" s="3" t="n">
        <v>5</v>
      </c>
      <c r="H13" s="5" t="n">
        <v>0.072</v>
      </c>
      <c r="I13" s="6" t="n">
        <f aca="false">G13*H13</f>
        <v>0.36</v>
      </c>
    </row>
    <row r="14" customFormat="false" ht="15" hidden="false" customHeight="false" outlineLevel="0" collapsed="false">
      <c r="A14" s="7" t="n">
        <v>12</v>
      </c>
      <c r="B14" s="8" t="s">
        <v>55</v>
      </c>
      <c r="C14" s="8" t="s">
        <v>56</v>
      </c>
      <c r="D14" s="8" t="s">
        <v>57</v>
      </c>
      <c r="E14" s="8" t="s">
        <v>58</v>
      </c>
      <c r="F14" s="7" t="s">
        <v>14</v>
      </c>
      <c r="G14" s="7" t="n">
        <v>1</v>
      </c>
      <c r="H14" s="9" t="n">
        <v>0.111</v>
      </c>
      <c r="I14" s="10" t="n">
        <f aca="false">G14*H14</f>
        <v>0.111</v>
      </c>
    </row>
    <row r="15" customFormat="false" ht="23.85" hidden="false" customHeight="false" outlineLevel="0" collapsed="false">
      <c r="A15" s="3" t="n">
        <v>13</v>
      </c>
      <c r="B15" s="4" t="s">
        <v>59</v>
      </c>
      <c r="C15" s="4" t="s">
        <v>60</v>
      </c>
      <c r="D15" s="4" t="s">
        <v>61</v>
      </c>
      <c r="E15" s="4" t="s">
        <v>62</v>
      </c>
      <c r="F15" s="3" t="s">
        <v>14</v>
      </c>
      <c r="G15" s="3" t="n">
        <v>2</v>
      </c>
      <c r="H15" s="5" t="n">
        <v>0.377</v>
      </c>
      <c r="I15" s="6" t="n">
        <f aca="false">G15*H15</f>
        <v>0.754</v>
      </c>
    </row>
    <row r="16" customFormat="false" ht="23.85" hidden="false" customHeight="false" outlineLevel="0" collapsed="false">
      <c r="A16" s="7" t="n">
        <v>14</v>
      </c>
      <c r="B16" s="8" t="s">
        <v>63</v>
      </c>
      <c r="C16" s="8" t="s">
        <v>64</v>
      </c>
      <c r="D16" s="8" t="s">
        <v>65</v>
      </c>
      <c r="E16" s="8" t="s">
        <v>66</v>
      </c>
      <c r="F16" s="7" t="s">
        <v>14</v>
      </c>
      <c r="G16" s="7" t="n">
        <v>1</v>
      </c>
      <c r="H16" s="9" t="n">
        <v>0.18</v>
      </c>
      <c r="I16" s="10" t="n">
        <f aca="false">G16*H16</f>
        <v>0.18</v>
      </c>
    </row>
    <row r="17" customFormat="false" ht="15" hidden="false" customHeight="false" outlineLevel="0" collapsed="false">
      <c r="A17" s="3" t="n">
        <v>15</v>
      </c>
      <c r="B17" s="4" t="s">
        <v>67</v>
      </c>
      <c r="C17" s="4" t="s">
        <v>68</v>
      </c>
      <c r="D17" s="4"/>
      <c r="E17" s="4" t="s">
        <v>69</v>
      </c>
      <c r="F17" s="3" t="s">
        <v>70</v>
      </c>
      <c r="G17" s="3" t="n">
        <v>1</v>
      </c>
      <c r="H17" s="5" t="n">
        <v>25.39</v>
      </c>
      <c r="I17" s="6" t="n">
        <f aca="false">G17*H17</f>
        <v>25.39</v>
      </c>
    </row>
    <row r="18" customFormat="false" ht="15" hidden="false" customHeight="false" outlineLevel="0" collapsed="false">
      <c r="A18" s="7" t="n">
        <v>16</v>
      </c>
      <c r="B18" s="8" t="s">
        <v>71</v>
      </c>
      <c r="C18" s="8" t="s">
        <v>72</v>
      </c>
      <c r="D18" s="8"/>
      <c r="E18" s="8" t="s">
        <v>73</v>
      </c>
      <c r="F18" s="7" t="s">
        <v>70</v>
      </c>
      <c r="G18" s="7" t="n">
        <v>1</v>
      </c>
      <c r="H18" s="9" t="n">
        <v>21.99</v>
      </c>
      <c r="I18" s="10" t="n">
        <f aca="false">G18*H18</f>
        <v>21.99</v>
      </c>
    </row>
    <row r="19" customFormat="false" ht="15" hidden="false" customHeight="false" outlineLevel="0" collapsed="false">
      <c r="A19" s="3" t="n">
        <v>17</v>
      </c>
      <c r="B19" s="4" t="s">
        <v>74</v>
      </c>
      <c r="C19" s="4" t="s">
        <v>75</v>
      </c>
      <c r="D19" s="4" t="s">
        <v>76</v>
      </c>
      <c r="E19" s="4"/>
      <c r="F19" s="3"/>
      <c r="G19" s="3" t="n">
        <v>1</v>
      </c>
      <c r="H19" s="5" t="n">
        <v>1.2</v>
      </c>
      <c r="I19" s="6" t="n">
        <f aca="false">G19*H19</f>
        <v>1.2</v>
      </c>
    </row>
    <row r="20" customFormat="false" ht="15" hidden="false" customHeight="false" outlineLevel="0" collapsed="false">
      <c r="A20" s="7" t="n">
        <v>18</v>
      </c>
      <c r="B20" s="8" t="s">
        <v>77</v>
      </c>
      <c r="C20" s="8" t="s">
        <v>78</v>
      </c>
      <c r="D20" s="8" t="s">
        <v>79</v>
      </c>
      <c r="E20" s="8"/>
      <c r="F20" s="7"/>
      <c r="G20" s="7" t="n">
        <v>2</v>
      </c>
      <c r="H20" s="9" t="n">
        <v>0.19</v>
      </c>
      <c r="I20" s="10" t="n">
        <f aca="false">G20*H20</f>
        <v>0.38</v>
      </c>
    </row>
    <row r="21" customFormat="false" ht="15" hidden="false" customHeight="false" outlineLevel="0" collapsed="false">
      <c r="A21" s="3" t="n">
        <v>19</v>
      </c>
      <c r="B21" s="4" t="s">
        <v>80</v>
      </c>
      <c r="C21" s="4" t="s">
        <v>81</v>
      </c>
      <c r="D21" s="4" t="s">
        <v>82</v>
      </c>
      <c r="E21" s="4"/>
      <c r="F21" s="3"/>
      <c r="G21" s="3" t="n">
        <v>2</v>
      </c>
      <c r="H21" s="5" t="n">
        <v>0.03</v>
      </c>
      <c r="I21" s="6" t="n">
        <f aca="false">G21*H21</f>
        <v>0.06</v>
      </c>
    </row>
    <row r="22" customFormat="false" ht="15" hidden="false" customHeight="false" outlineLevel="0" collapsed="false">
      <c r="A22" s="7" t="n">
        <v>20</v>
      </c>
      <c r="B22" s="8" t="s">
        <v>83</v>
      </c>
      <c r="C22" s="8" t="s">
        <v>84</v>
      </c>
      <c r="D22" s="8" t="s">
        <v>85</v>
      </c>
      <c r="E22" s="8"/>
      <c r="F22" s="7"/>
      <c r="G22" s="7" t="n">
        <v>1</v>
      </c>
      <c r="H22" s="9" t="n">
        <v>0.33</v>
      </c>
      <c r="I22" s="10" t="n">
        <f aca="false">G22*H22</f>
        <v>0.33</v>
      </c>
    </row>
    <row r="23" customFormat="false" ht="15" hidden="false" customHeight="false" outlineLevel="0" collapsed="false">
      <c r="A23" s="3" t="n">
        <v>21</v>
      </c>
      <c r="B23" s="4" t="s">
        <v>86</v>
      </c>
      <c r="C23" s="4" t="s">
        <v>87</v>
      </c>
      <c r="D23" s="4" t="s">
        <v>88</v>
      </c>
      <c r="E23" s="4"/>
      <c r="F23" s="3" t="s">
        <v>70</v>
      </c>
      <c r="G23" s="3" t="n">
        <v>1</v>
      </c>
      <c r="H23" s="5" t="n">
        <v>3.47</v>
      </c>
      <c r="I23" s="6" t="n">
        <f aca="false">G23*H23</f>
        <v>3.47</v>
      </c>
    </row>
    <row r="24" customFormat="false" ht="15" hidden="false" customHeight="false" outlineLevel="0" collapsed="false">
      <c r="A24" s="7" t="n">
        <v>22</v>
      </c>
      <c r="B24" s="8" t="s">
        <v>89</v>
      </c>
      <c r="C24" s="8" t="s">
        <v>90</v>
      </c>
      <c r="D24" s="8" t="s">
        <v>91</v>
      </c>
      <c r="E24" s="8" t="s">
        <v>91</v>
      </c>
      <c r="F24" s="7" t="s">
        <v>92</v>
      </c>
      <c r="G24" s="7" t="n">
        <v>1</v>
      </c>
      <c r="H24" s="9" t="n">
        <v>3.16</v>
      </c>
      <c r="I24" s="10" t="n">
        <f aca="false">G24*H24</f>
        <v>3.16</v>
      </c>
    </row>
    <row r="25" customFormat="false" ht="15" hidden="false" customHeight="false" outlineLevel="0" collapsed="false">
      <c r="A25" s="11" t="s">
        <v>93</v>
      </c>
      <c r="B25" s="11"/>
      <c r="C25" s="11"/>
      <c r="D25" s="11"/>
      <c r="E25" s="11"/>
      <c r="F25" s="11"/>
      <c r="G25" s="12" t="n">
        <f aca="false">SUM(G3:G24)</f>
        <v>30</v>
      </c>
      <c r="H25" s="13"/>
      <c r="I25" s="14" t="n">
        <f aca="false">SUM(I3:I24)</f>
        <v>66.857</v>
      </c>
    </row>
    <row r="27" customFormat="false" ht="15" hidden="false" customHeight="false" outlineLevel="0" collapsed="false">
      <c r="A27" s="15" t="s">
        <v>94</v>
      </c>
      <c r="B27" s="15"/>
      <c r="C27" s="15"/>
      <c r="D27" s="15"/>
      <c r="E27" s="15"/>
      <c r="F27" s="15"/>
      <c r="G27" s="15"/>
      <c r="H27" s="15"/>
      <c r="I27" s="15"/>
    </row>
  </sheetData>
  <mergeCells count="3">
    <mergeCell ref="A1:I1"/>
    <mergeCell ref="A25:F25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2026-06-26T23:35:02Z</dcterms:created>
  <dc:creator>openpyxl</dc:creator>
  <dc:description/>
  <dc:language>en-US</dc:language>
  <cp:lastModifiedBy/>
  <dcterms:modified xsi:type="dcterms:W3CDTF">2026-06-26T23:35:02Z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